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cket List" sheetId="2" state="visible" r:id="rId2"/>
    <sheet name="Content Tracker" sheetId="3" state="visible" r:id="rId3"/>
    <sheet name="Weekly Review" sheetId="4" state="visible" r:id="rId4"/>
    <sheet name="Gear Checklist" sheetId="5" state="visible" r:id="rId5"/>
  </sheets>
  <definedNames>
    <definedName name="_xlnm.Print_Area" localSheetId="0">'Dashboard'!$A$1:$L$23</definedName>
    <definedName name="_xlnm._FilterDatabase" localSheetId="1" hidden="1">'Bucket List'!$A$2:$I$32</definedName>
    <definedName name="_xlnm.Print_Area" localSheetId="1">'Bucket List'!$A$1:$I$32</definedName>
    <definedName name="_xlnm._FilterDatabase" localSheetId="2" hidden="1">'Content Tracker'!$A$2:$N$32</definedName>
    <definedName name="_xlnm.Print_Area" localSheetId="2">'Content Tracker'!$A$1:$N$32</definedName>
    <definedName name="_xlnm.Print_Area" localSheetId="3">'Weekly Review'!$A$1:$G$11</definedName>
    <definedName name="_xlnm._FilterDatabase" localSheetId="4" hidden="1">'Gear Checklist'!$A$4:$C$15</definedName>
    <definedName name="_xlnm.Print_Area" localSheetId="4">'Gear Checklist'!$A$1:$C$15</definedName>
  </definedNames>
  <calcPr calcId="124519" calcMode="auto" fullCalcOnLoad="1" calcCompleted="0" calcOnSave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color rgb="00FFFFFF"/>
      <sz val="11"/>
    </font>
    <font>
      <name val="Arial"/>
      <b val="1"/>
      <color rgb="00FF6B00"/>
      <sz val="32"/>
    </font>
    <font>
      <name val="Arial"/>
      <i val="1"/>
      <color rgb="00FFFFFF"/>
      <sz val="14"/>
    </font>
    <font>
      <name val="Arial"/>
      <b val="1"/>
      <color rgb="00FF6B00"/>
      <sz val="12"/>
    </font>
    <font>
      <name val="Arial"/>
      <b val="1"/>
      <color rgb="00FF6B00"/>
      <sz val="20"/>
    </font>
    <font>
      <name val="Arial"/>
      <b val="1"/>
      <color rgb="00FFFFFF"/>
      <sz val="14"/>
    </font>
    <font>
      <name val="Arial"/>
      <b val="1"/>
      <color rgb="00FFB380"/>
      <sz val="11"/>
    </font>
    <font>
      <name val="Arial"/>
      <b val="1"/>
      <color rgb="00FFFFFF"/>
      <sz val="22"/>
    </font>
    <font>
      <name val="Arial"/>
      <b val="1"/>
      <color rgb="00FFB380"/>
      <sz val="10"/>
    </font>
    <font>
      <name val="Arial"/>
      <color rgb="00FFFFFF"/>
      <sz val="10"/>
    </font>
    <font>
      <name val="Arial"/>
      <i val="1"/>
      <color rgb="00BDBDBD"/>
      <sz val="10"/>
    </font>
    <font>
      <name val="Arial"/>
      <b val="1"/>
      <color rgb="00FF6B00"/>
      <sz val="18"/>
    </font>
    <font>
      <name val="Arial"/>
      <b val="1"/>
      <color rgb="00FFFFFF"/>
      <sz val="11"/>
    </font>
    <font>
      <name val="Arial"/>
      <b val="1"/>
      <color rgb="00FFB380"/>
      <sz val="13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A2A2A"/>
      </patternFill>
    </fill>
    <fill>
      <patternFill patternType="solid">
        <fgColor rgb="00FF6B0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top style="medium">
        <color rgb="00FF6B00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2" fontId="1" fillId="2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164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164" fontId="4" fillId="2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name val="Arial"/>
        <color rgb="00000000"/>
        <sz val="11"/>
      </font>
      <fill>
        <patternFill patternType="solid">
          <fgColor rgb="00C8E6C9"/>
        </patternFill>
      </fill>
    </dxf>
    <dxf>
      <font>
        <name val="Arial"/>
        <color rgb="00000000"/>
        <sz val="11"/>
      </font>
      <fill>
        <patternFill patternType="solid">
          <fgColor rgb="00BDBDBD"/>
        </patternFill>
      </fill>
    </dxf>
    <dxf>
      <font>
        <name val="Arial"/>
        <b val="1"/>
        <color rgb="00000000"/>
        <sz val="11"/>
      </font>
      <fill>
        <patternFill patternType="solid">
          <fgColor rgb="0066BB6A"/>
        </patternFill>
      </fill>
    </dxf>
    <dxf>
      <font>
        <name val="Arial"/>
        <b val="1"/>
        <color rgb="00000000"/>
        <sz val="11"/>
      </font>
      <fill>
        <patternFill patternType="solid">
          <fgColor rgb="00FFCA28"/>
        </patternFill>
      </fill>
    </dxf>
    <dxf>
      <font>
        <name val="Arial"/>
        <color rgb="00000000"/>
        <sz val="11"/>
      </font>
      <fill>
        <patternFill patternType="solid">
          <f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00"/>
    <outlinePr summaryBelow="1" summaryRight="1"/>
    <pageSetUpPr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20" customWidth="1" min="8" max="8"/>
    <col width="15" customWidth="1" min="9" max="9"/>
    <col width="15" customWidth="1" min="10" max="10"/>
    <col width="15" customWidth="1" min="11" max="11"/>
    <col width="2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A2" s="1" t="n"/>
      <c r="B2" s="2" t="inlineStr">
        <is>
          <t>30 CAFES BALI CHALLENGE</t>
        </is>
      </c>
      <c r="L2" s="1" t="n"/>
    </row>
    <row r="3" ht="30" customHeight="1">
      <c r="A3" s="1" t="n"/>
      <c r="L3" s="1" t="n"/>
    </row>
    <row r="4" ht="24" customHeight="1">
      <c r="A4" s="1" t="n"/>
      <c r="B4" s="3" t="inlineStr">
        <is>
          <t>30 Days. 30 Cafes. 1 Camera.</t>
        </is>
      </c>
      <c r="L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4" t="inlineStr">
        <is>
          <t>PROGRESS</t>
        </is>
      </c>
      <c r="L6" s="1" t="n"/>
    </row>
    <row r="7" ht="32" customHeight="1">
      <c r="A7" s="1" t="n"/>
      <c r="B7" s="5">
        <f>IF(COUNTIF('Bucket List'!$F$3:$F$32,"Sudah")&gt;=1*3,"█","░")</f>
        <v/>
      </c>
      <c r="C7" s="5">
        <f>IF(COUNTIF('Bucket List'!$F$3:$F$32,"Sudah")&gt;=2*3,"█","░")</f>
        <v/>
      </c>
      <c r="D7" s="5">
        <f>IF(COUNTIF('Bucket List'!$F$3:$F$32,"Sudah")&gt;=3*3,"█","░")</f>
        <v/>
      </c>
      <c r="E7" s="5">
        <f>IF(COUNTIF('Bucket List'!$F$3:$F$32,"Sudah")&gt;=4*3,"█","░")</f>
        <v/>
      </c>
      <c r="F7" s="5">
        <f>IF(COUNTIF('Bucket List'!$F$3:$F$32,"Sudah")&gt;=5*3,"█","░")</f>
        <v/>
      </c>
      <c r="G7" s="5">
        <f>IF(COUNTIF('Bucket List'!$F$3:$F$32,"Sudah")&gt;=6*3,"█","░")</f>
        <v/>
      </c>
      <c r="H7" s="5">
        <f>IF(COUNTIF('Bucket List'!$F$3:$F$32,"Sudah")&gt;=7*3,"█","░")</f>
        <v/>
      </c>
      <c r="I7" s="5">
        <f>IF(COUNTIF('Bucket List'!$F$3:$F$32,"Sudah")&gt;=8*3,"█","░")</f>
        <v/>
      </c>
      <c r="J7" s="5">
        <f>IF(COUNTIF('Bucket List'!$F$3:$F$32,"Sudah")&gt;=9*3,"█","░")</f>
        <v/>
      </c>
      <c r="K7" s="5">
        <f>IF(COUNTIF('Bucket List'!$F$3:$F$32,"Sudah")&gt;=10*3,"█","░")</f>
        <v/>
      </c>
      <c r="L7" s="1" t="n"/>
    </row>
    <row r="8" ht="26" customHeight="1">
      <c r="A8" s="1" t="n"/>
      <c r="B8" s="6">
        <f>COUNTIF('Bucket List'!$F$3:$F$32,"Sudah")&amp;" of 30 cafes visited ("&amp;TEXT(COUNTIF('Bucket List'!$F$3:$F$32,"Sudah")/30,"0%")&amp;")"</f>
        <v/>
      </c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4" t="inlineStr">
        <is>
          <t>SUMMARY STATS</t>
        </is>
      </c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20" customHeight="1">
      <c r="A12" s="1" t="n"/>
      <c r="B12" s="7" t="inlineStr">
        <is>
          <t>Total Cafe Dikunjungi</t>
        </is>
      </c>
      <c r="G12" s="1" t="n"/>
      <c r="H12" s="7" t="inlineStr">
        <is>
          <t>CHALLENGE INFO</t>
        </is>
      </c>
      <c r="L12" s="1" t="n"/>
    </row>
    <row r="13" ht="30" customHeight="1">
      <c r="A13" s="1" t="n"/>
      <c r="B13" s="8">
        <f>COUNTIF('Bucket List'!F3:F32,"Sudah")</f>
        <v/>
      </c>
      <c r="G13" s="1" t="n"/>
      <c r="H13" s="9" t="inlineStr">
        <is>
          <t>Camera</t>
        </is>
      </c>
      <c r="J13" s="10" t="inlineStr">
        <is>
          <t>Fujifilm X-S20</t>
        </is>
      </c>
      <c r="L13" s="1" t="n"/>
    </row>
    <row r="14" ht="20" customHeight="1">
      <c r="A14" s="1" t="n"/>
      <c r="B14" s="7" t="inlineStr">
        <is>
          <t>Total Post Live</t>
        </is>
      </c>
      <c r="G14" s="1" t="n"/>
      <c r="H14" s="9" t="inlineStr">
        <is>
          <t>Editor</t>
        </is>
      </c>
      <c r="J14" s="10" t="inlineStr">
        <is>
          <t>Lightroom + CapCut</t>
        </is>
      </c>
      <c r="L14" s="1" t="n"/>
    </row>
    <row r="15" ht="30" customHeight="1">
      <c r="A15" s="1" t="n"/>
      <c r="B15" s="8">
        <f>COUNTIF('Content Tracker'!H3:H32,"Live")+COUNTIF('Content Tracker'!I3:I32,"Live")</f>
        <v/>
      </c>
      <c r="G15" s="1" t="n"/>
      <c r="H15" s="9" t="inlineStr">
        <is>
          <t>Location</t>
        </is>
      </c>
      <c r="J15" s="10" t="inlineStr">
        <is>
          <t>Bali, Indonesia</t>
        </is>
      </c>
      <c r="L15" s="1" t="n"/>
    </row>
    <row r="16" ht="20" customHeight="1">
      <c r="A16" s="1" t="n"/>
      <c r="B16" s="7" t="inlineStr">
        <is>
          <t>Total Hari Tersisa</t>
        </is>
      </c>
      <c r="G16" s="1" t="n"/>
      <c r="H16" s="9" t="inlineStr">
        <is>
          <t>Target</t>
        </is>
      </c>
      <c r="J16" s="10" t="inlineStr">
        <is>
          <t>7 photos + 1 reels per cafe</t>
        </is>
      </c>
      <c r="L16" s="1" t="n"/>
    </row>
    <row r="17" ht="30" customHeight="1">
      <c r="A17" s="1" t="n"/>
      <c r="B17" s="8">
        <f>30-COUNTIF('Bucket List'!F3:F32,"Sudah")</f>
        <v/>
      </c>
      <c r="G17" s="1" t="n"/>
      <c r="H17" s="9" t="inlineStr">
        <is>
          <t>Instagram</t>
        </is>
      </c>
      <c r="J17" s="10" t="inlineStr">
        <is>
          <t>@fazar_nr</t>
        </is>
      </c>
      <c r="L17" s="1" t="n"/>
    </row>
    <row r="18" ht="20" customHeight="1">
      <c r="A18" s="1" t="n"/>
      <c r="B18" s="7" t="inlineStr">
        <is>
          <t>Best Engagement (Likes)</t>
        </is>
      </c>
      <c r="G18" s="1" t="n"/>
      <c r="H18" s="9" t="inlineStr">
        <is>
          <t>Duration</t>
        </is>
      </c>
      <c r="J18" s="10" t="inlineStr">
        <is>
          <t>30 days</t>
        </is>
      </c>
      <c r="L18" s="1" t="n"/>
    </row>
    <row r="19" ht="30" customHeight="1">
      <c r="A19" s="1" t="n"/>
      <c r="B19" s="8">
        <f>IFERROR(MAX('Content Tracker'!K3:K32),0)</f>
        <v/>
      </c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1" t="inlineStr">
        <is>
          <t>Fill in the other sheets — this dashboard updates automatically.</t>
        </is>
      </c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</sheetData>
  <mergeCells count="27">
    <mergeCell ref="B16:F16"/>
    <mergeCell ref="J14:K14"/>
    <mergeCell ref="H12:K12"/>
    <mergeCell ref="B6:K6"/>
    <mergeCell ref="J13:K13"/>
    <mergeCell ref="B2:K3"/>
    <mergeCell ref="B18:F18"/>
    <mergeCell ref="B12:F12"/>
    <mergeCell ref="B4:K4"/>
    <mergeCell ref="J15:K15"/>
    <mergeCell ref="B14:F14"/>
    <mergeCell ref="B17:F17"/>
    <mergeCell ref="B13:F13"/>
    <mergeCell ref="H17:I17"/>
    <mergeCell ref="B22:K22"/>
    <mergeCell ref="H16:I16"/>
    <mergeCell ref="J16:K16"/>
    <mergeCell ref="B19:F19"/>
    <mergeCell ref="H13:I13"/>
    <mergeCell ref="B8:K8"/>
    <mergeCell ref="B15:F15"/>
    <mergeCell ref="H15:I15"/>
    <mergeCell ref="H18:I18"/>
    <mergeCell ref="J18:K18"/>
    <mergeCell ref="H14:I14"/>
    <mergeCell ref="B10:K10"/>
    <mergeCell ref="J17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J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22" customWidth="1" min="4" max="4"/>
    <col width="14" customWidth="1" min="5" max="5"/>
    <col width="12" customWidth="1" min="6" max="6"/>
    <col width="18" customWidth="1" min="7" max="7"/>
    <col width="8" customWidth="1" min="8" max="8"/>
    <col width="32" customWidth="1" min="9" max="9"/>
  </cols>
  <sheetData>
    <row r="1" ht="26" customHeight="1">
      <c r="A1" s="12" t="inlineStr">
        <is>
          <t>BUCKET LIST — 30 CAFES BALI</t>
        </is>
      </c>
      <c r="J1" s="1" t="n"/>
    </row>
    <row r="2" ht="24" customHeight="1">
      <c r="A2" s="13" t="inlineStr">
        <is>
          <t>No</t>
        </is>
      </c>
      <c r="B2" s="13" t="inlineStr">
        <is>
          <t>Nama Cafe</t>
        </is>
      </c>
      <c r="C2" s="13" t="inlineStr">
        <is>
          <t>Area</t>
        </is>
      </c>
      <c r="D2" s="13" t="inlineStr">
        <is>
          <t>Instagram Cafe</t>
        </is>
      </c>
      <c r="E2" s="13" t="inlineStr">
        <is>
          <t>Vibe</t>
        </is>
      </c>
      <c r="F2" s="13" t="inlineStr">
        <is>
          <t>Status</t>
        </is>
      </c>
      <c r="G2" s="13" t="inlineStr">
        <is>
          <t>Tanggal Kunjungan</t>
        </is>
      </c>
      <c r="H2" s="13" t="inlineStr">
        <is>
          <t>Rating</t>
        </is>
      </c>
      <c r="I2" s="13" t="inlineStr">
        <is>
          <t>Notes</t>
        </is>
      </c>
      <c r="J2" s="1" t="n"/>
    </row>
    <row r="3">
      <c r="A3" s="14" t="n">
        <v>1</v>
      </c>
      <c r="B3" s="15" t="inlineStr">
        <is>
          <t>Crate Cafe</t>
        </is>
      </c>
      <c r="C3" s="14" t="inlineStr">
        <is>
          <t>Canggu</t>
        </is>
      </c>
      <c r="D3" s="15" t="inlineStr">
        <is>
          <t>@cratecafe</t>
        </is>
      </c>
      <c r="E3" s="15" t="inlineStr">
        <is>
          <t>Industrial</t>
        </is>
      </c>
      <c r="F3" s="14" t="inlineStr">
        <is>
          <t>Belum</t>
        </is>
      </c>
      <c r="G3" s="14" t="n"/>
      <c r="H3" s="14" t="n"/>
      <c r="I3" s="15" t="n"/>
      <c r="J3" s="1" t="n"/>
    </row>
    <row r="4">
      <c r="A4" s="14" t="n">
        <v>2</v>
      </c>
      <c r="B4" s="15" t="inlineStr">
        <is>
          <t>Milk &amp; Madu</t>
        </is>
      </c>
      <c r="C4" s="14" t="inlineStr">
        <is>
          <t>Canggu</t>
        </is>
      </c>
      <c r="D4" s="15" t="inlineStr">
        <is>
          <t>@milkandmadu</t>
        </is>
      </c>
      <c r="E4" s="15" t="inlineStr">
        <is>
          <t>Rustic</t>
        </is>
      </c>
      <c r="F4" s="14" t="inlineStr">
        <is>
          <t>Belum</t>
        </is>
      </c>
      <c r="G4" s="14" t="n"/>
      <c r="H4" s="14" t="n"/>
      <c r="I4" s="15" t="n"/>
      <c r="J4" s="1" t="n"/>
    </row>
    <row r="5">
      <c r="A5" s="14" t="n">
        <v>3</v>
      </c>
      <c r="B5" s="15" t="inlineStr">
        <is>
          <t>Nook Bali</t>
        </is>
      </c>
      <c r="C5" s="14" t="inlineStr">
        <is>
          <t>Seminyak</t>
        </is>
      </c>
      <c r="D5" s="15" t="inlineStr">
        <is>
          <t>@nook_bali</t>
        </is>
      </c>
      <c r="E5" s="15" t="inlineStr">
        <is>
          <t>Nature</t>
        </is>
      </c>
      <c r="F5" s="14" t="inlineStr">
        <is>
          <t>Belum</t>
        </is>
      </c>
      <c r="G5" s="14" t="n"/>
      <c r="H5" s="14" t="n"/>
      <c r="I5" s="15" t="n"/>
      <c r="J5" s="1" t="n"/>
    </row>
    <row r="6">
      <c r="A6" s="14" t="n">
        <v>4</v>
      </c>
      <c r="B6" s="15" t="inlineStr">
        <is>
          <t>Revolver Espresso</t>
        </is>
      </c>
      <c r="C6" s="14" t="inlineStr">
        <is>
          <t>Seminyak</t>
        </is>
      </c>
      <c r="D6" s="15" t="inlineStr">
        <is>
          <t>@revolverespresso</t>
        </is>
      </c>
      <c r="E6" s="15" t="inlineStr">
        <is>
          <t>Industrial</t>
        </is>
      </c>
      <c r="F6" s="14" t="inlineStr">
        <is>
          <t>Belum</t>
        </is>
      </c>
      <c r="G6" s="14" t="n"/>
      <c r="H6" s="14" t="n"/>
      <c r="I6" s="15" t="n"/>
      <c r="J6" s="1" t="n"/>
    </row>
    <row r="7">
      <c r="A7" s="14" t="n">
        <v>5</v>
      </c>
      <c r="B7" s="15" t="inlineStr">
        <is>
          <t>Sisterfields</t>
        </is>
      </c>
      <c r="C7" s="14" t="inlineStr">
        <is>
          <t>Seminyak</t>
        </is>
      </c>
      <c r="D7" s="15" t="inlineStr">
        <is>
          <t>@sisterfieldsbali</t>
        </is>
      </c>
      <c r="E7" s="15" t="inlineStr">
        <is>
          <t>Modern</t>
        </is>
      </c>
      <c r="F7" s="14" t="inlineStr">
        <is>
          <t>Belum</t>
        </is>
      </c>
      <c r="G7" s="14" t="n"/>
      <c r="H7" s="14" t="n"/>
      <c r="I7" s="15" t="n"/>
      <c r="J7" s="1" t="n"/>
    </row>
    <row r="8">
      <c r="A8" s="14" t="n">
        <v>6</v>
      </c>
      <c r="B8" s="15" t="inlineStr">
        <is>
          <t>Cafe Organic</t>
        </is>
      </c>
      <c r="C8" s="14" t="inlineStr">
        <is>
          <t>Seminyak</t>
        </is>
      </c>
      <c r="D8" s="15" t="inlineStr">
        <is>
          <t>@cafeorganicbali</t>
        </is>
      </c>
      <c r="E8" s="15" t="inlineStr">
        <is>
          <t>Cozy</t>
        </is>
      </c>
      <c r="F8" s="14" t="inlineStr">
        <is>
          <t>Belum</t>
        </is>
      </c>
      <c r="G8" s="14" t="n"/>
      <c r="H8" s="14" t="n"/>
      <c r="I8" s="15" t="n"/>
      <c r="J8" s="1" t="n"/>
    </row>
    <row r="9">
      <c r="A9" s="14" t="n">
        <v>7</v>
      </c>
      <c r="B9" s="15" t="inlineStr">
        <is>
          <t>Alchemy Bali</t>
        </is>
      </c>
      <c r="C9" s="14" t="inlineStr">
        <is>
          <t>Ubud</t>
        </is>
      </c>
      <c r="D9" s="15" t="inlineStr">
        <is>
          <t>@alchemybali</t>
        </is>
      </c>
      <c r="E9" s="15" t="inlineStr">
        <is>
          <t>Nature</t>
        </is>
      </c>
      <c r="F9" s="14" t="inlineStr">
        <is>
          <t>Belum</t>
        </is>
      </c>
      <c r="G9" s="14" t="n"/>
      <c r="H9" s="14" t="n"/>
      <c r="I9" s="15" t="n"/>
      <c r="J9" s="1" t="n"/>
    </row>
    <row r="10">
      <c r="A10" s="14" t="n">
        <v>8</v>
      </c>
      <c r="B10" s="15" t="inlineStr">
        <is>
          <t>Kismet Ubud</t>
        </is>
      </c>
      <c r="C10" s="14" t="inlineStr">
        <is>
          <t>Ubud</t>
        </is>
      </c>
      <c r="D10" s="15" t="inlineStr">
        <is>
          <t>@kismet_ubud</t>
        </is>
      </c>
      <c r="E10" s="15" t="inlineStr">
        <is>
          <t>Cozy</t>
        </is>
      </c>
      <c r="F10" s="14" t="inlineStr">
        <is>
          <t>Belum</t>
        </is>
      </c>
      <c r="G10" s="14" t="n"/>
      <c r="H10" s="14" t="n"/>
      <c r="I10" s="15" t="n"/>
      <c r="J10" s="1" t="n"/>
    </row>
    <row r="11">
      <c r="A11" s="14" t="n">
        <v>9</v>
      </c>
      <c r="B11" s="15" t="inlineStr">
        <is>
          <t>Seniman Coffee</t>
        </is>
      </c>
      <c r="C11" s="14" t="inlineStr">
        <is>
          <t>Ubud</t>
        </is>
      </c>
      <c r="D11" s="15" t="inlineStr">
        <is>
          <t>@senimancoffee</t>
        </is>
      </c>
      <c r="E11" s="15" t="inlineStr">
        <is>
          <t>Rustic</t>
        </is>
      </c>
      <c r="F11" s="14" t="inlineStr">
        <is>
          <t>Belum</t>
        </is>
      </c>
      <c r="G11" s="14" t="n"/>
      <c r="H11" s="14" t="n"/>
      <c r="I11" s="15" t="n"/>
      <c r="J11" s="1" t="n"/>
    </row>
    <row r="12">
      <c r="A12" s="14" t="n">
        <v>10</v>
      </c>
      <c r="B12" s="15" t="inlineStr">
        <is>
          <t>Genius Cafe</t>
        </is>
      </c>
      <c r="C12" s="14" t="inlineStr">
        <is>
          <t>Sanur</t>
        </is>
      </c>
      <c r="D12" s="15" t="inlineStr">
        <is>
          <t>@geniuscafebali</t>
        </is>
      </c>
      <c r="E12" s="15" t="inlineStr">
        <is>
          <t>Modern</t>
        </is>
      </c>
      <c r="F12" s="14" t="inlineStr">
        <is>
          <t>Belum</t>
        </is>
      </c>
      <c r="G12" s="14" t="n"/>
      <c r="H12" s="14" t="n"/>
      <c r="I12" s="15" t="n"/>
      <c r="J12" s="1" t="n"/>
    </row>
    <row r="13">
      <c r="A13" s="14" t="n">
        <v>11</v>
      </c>
      <c r="B13" s="15" t="n"/>
      <c r="C13" s="14" t="n"/>
      <c r="D13" s="15" t="n"/>
      <c r="E13" s="15" t="n"/>
      <c r="F13" s="14" t="inlineStr">
        <is>
          <t>Belum</t>
        </is>
      </c>
      <c r="G13" s="14" t="n"/>
      <c r="H13" s="14" t="n"/>
      <c r="I13" s="15" t="n"/>
      <c r="J13" s="1" t="n"/>
    </row>
    <row r="14">
      <c r="A14" s="14" t="n">
        <v>12</v>
      </c>
      <c r="B14" s="15" t="n"/>
      <c r="C14" s="14" t="n"/>
      <c r="D14" s="15" t="n"/>
      <c r="E14" s="15" t="n"/>
      <c r="F14" s="14" t="inlineStr">
        <is>
          <t>Belum</t>
        </is>
      </c>
      <c r="G14" s="14" t="n"/>
      <c r="H14" s="14" t="n"/>
      <c r="I14" s="15" t="n"/>
      <c r="J14" s="1" t="n"/>
    </row>
    <row r="15">
      <c r="A15" s="14" t="n">
        <v>13</v>
      </c>
      <c r="B15" s="15" t="n"/>
      <c r="C15" s="14" t="n"/>
      <c r="D15" s="15" t="n"/>
      <c r="E15" s="15" t="n"/>
      <c r="F15" s="14" t="inlineStr">
        <is>
          <t>Belum</t>
        </is>
      </c>
      <c r="G15" s="14" t="n"/>
      <c r="H15" s="14" t="n"/>
      <c r="I15" s="15" t="n"/>
      <c r="J15" s="1" t="n"/>
    </row>
    <row r="16">
      <c r="A16" s="14" t="n">
        <v>14</v>
      </c>
      <c r="B16" s="15" t="n"/>
      <c r="C16" s="14" t="n"/>
      <c r="D16" s="15" t="n"/>
      <c r="E16" s="15" t="n"/>
      <c r="F16" s="14" t="inlineStr">
        <is>
          <t>Belum</t>
        </is>
      </c>
      <c r="G16" s="14" t="n"/>
      <c r="H16" s="14" t="n"/>
      <c r="I16" s="15" t="n"/>
      <c r="J16" s="1" t="n"/>
    </row>
    <row r="17">
      <c r="A17" s="14" t="n">
        <v>15</v>
      </c>
      <c r="B17" s="15" t="n"/>
      <c r="C17" s="14" t="n"/>
      <c r="D17" s="15" t="n"/>
      <c r="E17" s="15" t="n"/>
      <c r="F17" s="14" t="inlineStr">
        <is>
          <t>Belum</t>
        </is>
      </c>
      <c r="G17" s="14" t="n"/>
      <c r="H17" s="14" t="n"/>
      <c r="I17" s="15" t="n"/>
      <c r="J17" s="1" t="n"/>
    </row>
    <row r="18">
      <c r="A18" s="14" t="n">
        <v>16</v>
      </c>
      <c r="B18" s="15" t="n"/>
      <c r="C18" s="14" t="n"/>
      <c r="D18" s="15" t="n"/>
      <c r="E18" s="15" t="n"/>
      <c r="F18" s="14" t="inlineStr">
        <is>
          <t>Belum</t>
        </is>
      </c>
      <c r="G18" s="14" t="n"/>
      <c r="H18" s="14" t="n"/>
      <c r="I18" s="15" t="n"/>
      <c r="J18" s="1" t="n"/>
    </row>
    <row r="19">
      <c r="A19" s="14" t="n">
        <v>17</v>
      </c>
      <c r="B19" s="15" t="n"/>
      <c r="C19" s="14" t="n"/>
      <c r="D19" s="15" t="n"/>
      <c r="E19" s="15" t="n"/>
      <c r="F19" s="14" t="inlineStr">
        <is>
          <t>Belum</t>
        </is>
      </c>
      <c r="G19" s="14" t="n"/>
      <c r="H19" s="14" t="n"/>
      <c r="I19" s="15" t="n"/>
      <c r="J19" s="1" t="n"/>
    </row>
    <row r="20">
      <c r="A20" s="14" t="n">
        <v>18</v>
      </c>
      <c r="B20" s="15" t="n"/>
      <c r="C20" s="14" t="n"/>
      <c r="D20" s="15" t="n"/>
      <c r="E20" s="15" t="n"/>
      <c r="F20" s="14" t="inlineStr">
        <is>
          <t>Belum</t>
        </is>
      </c>
      <c r="G20" s="14" t="n"/>
      <c r="H20" s="14" t="n"/>
      <c r="I20" s="15" t="n"/>
      <c r="J20" s="1" t="n"/>
    </row>
    <row r="21">
      <c r="A21" s="14" t="n">
        <v>19</v>
      </c>
      <c r="B21" s="15" t="n"/>
      <c r="C21" s="14" t="n"/>
      <c r="D21" s="15" t="n"/>
      <c r="E21" s="15" t="n"/>
      <c r="F21" s="14" t="inlineStr">
        <is>
          <t>Belum</t>
        </is>
      </c>
      <c r="G21" s="14" t="n"/>
      <c r="H21" s="14" t="n"/>
      <c r="I21" s="15" t="n"/>
      <c r="J21" s="1" t="n"/>
    </row>
    <row r="22">
      <c r="A22" s="14" t="n">
        <v>20</v>
      </c>
      <c r="B22" s="15" t="n"/>
      <c r="C22" s="14" t="n"/>
      <c r="D22" s="15" t="n"/>
      <c r="E22" s="15" t="n"/>
      <c r="F22" s="14" t="inlineStr">
        <is>
          <t>Belum</t>
        </is>
      </c>
      <c r="G22" s="14" t="n"/>
      <c r="H22" s="14" t="n"/>
      <c r="I22" s="15" t="n"/>
      <c r="J22" s="1" t="n"/>
    </row>
    <row r="23">
      <c r="A23" s="14" t="n">
        <v>21</v>
      </c>
      <c r="B23" s="15" t="n"/>
      <c r="C23" s="14" t="n"/>
      <c r="D23" s="15" t="n"/>
      <c r="E23" s="15" t="n"/>
      <c r="F23" s="14" t="inlineStr">
        <is>
          <t>Belum</t>
        </is>
      </c>
      <c r="G23" s="14" t="n"/>
      <c r="H23" s="14" t="n"/>
      <c r="I23" s="15" t="n"/>
      <c r="J23" s="1" t="n"/>
    </row>
    <row r="24">
      <c r="A24" s="14" t="n">
        <v>22</v>
      </c>
      <c r="B24" s="15" t="n"/>
      <c r="C24" s="14" t="n"/>
      <c r="D24" s="15" t="n"/>
      <c r="E24" s="15" t="n"/>
      <c r="F24" s="14" t="inlineStr">
        <is>
          <t>Belum</t>
        </is>
      </c>
      <c r="G24" s="14" t="n"/>
      <c r="H24" s="14" t="n"/>
      <c r="I24" s="15" t="n"/>
      <c r="J24" s="1" t="n"/>
    </row>
    <row r="25">
      <c r="A25" s="14" t="n">
        <v>23</v>
      </c>
      <c r="B25" s="15" t="n"/>
      <c r="C25" s="14" t="n"/>
      <c r="D25" s="15" t="n"/>
      <c r="E25" s="15" t="n"/>
      <c r="F25" s="14" t="inlineStr">
        <is>
          <t>Belum</t>
        </is>
      </c>
      <c r="G25" s="14" t="n"/>
      <c r="H25" s="14" t="n"/>
      <c r="I25" s="15" t="n"/>
      <c r="J25" s="1" t="n"/>
    </row>
    <row r="26">
      <c r="A26" s="14" t="n">
        <v>24</v>
      </c>
      <c r="B26" s="15" t="n"/>
      <c r="C26" s="14" t="n"/>
      <c r="D26" s="15" t="n"/>
      <c r="E26" s="15" t="n"/>
      <c r="F26" s="14" t="inlineStr">
        <is>
          <t>Belum</t>
        </is>
      </c>
      <c r="G26" s="14" t="n"/>
      <c r="H26" s="14" t="n"/>
      <c r="I26" s="15" t="n"/>
      <c r="J26" s="1" t="n"/>
    </row>
    <row r="27">
      <c r="A27" s="14" t="n">
        <v>25</v>
      </c>
      <c r="B27" s="15" t="n"/>
      <c r="C27" s="14" t="n"/>
      <c r="D27" s="15" t="n"/>
      <c r="E27" s="15" t="n"/>
      <c r="F27" s="14" t="inlineStr">
        <is>
          <t>Belum</t>
        </is>
      </c>
      <c r="G27" s="14" t="n"/>
      <c r="H27" s="14" t="n"/>
      <c r="I27" s="15" t="n"/>
      <c r="J27" s="1" t="n"/>
    </row>
    <row r="28">
      <c r="A28" s="14" t="n">
        <v>26</v>
      </c>
      <c r="B28" s="15" t="n"/>
      <c r="C28" s="14" t="n"/>
      <c r="D28" s="15" t="n"/>
      <c r="E28" s="15" t="n"/>
      <c r="F28" s="14" t="inlineStr">
        <is>
          <t>Belum</t>
        </is>
      </c>
      <c r="G28" s="14" t="n"/>
      <c r="H28" s="14" t="n"/>
      <c r="I28" s="15" t="n"/>
      <c r="J28" s="1" t="n"/>
    </row>
    <row r="29">
      <c r="A29" s="14" t="n">
        <v>27</v>
      </c>
      <c r="B29" s="15" t="n"/>
      <c r="C29" s="14" t="n"/>
      <c r="D29" s="15" t="n"/>
      <c r="E29" s="15" t="n"/>
      <c r="F29" s="14" t="inlineStr">
        <is>
          <t>Belum</t>
        </is>
      </c>
      <c r="G29" s="14" t="n"/>
      <c r="H29" s="14" t="n"/>
      <c r="I29" s="15" t="n"/>
      <c r="J29" s="1" t="n"/>
    </row>
    <row r="30">
      <c r="A30" s="14" t="n">
        <v>28</v>
      </c>
      <c r="B30" s="15" t="n"/>
      <c r="C30" s="14" t="n"/>
      <c r="D30" s="15" t="n"/>
      <c r="E30" s="15" t="n"/>
      <c r="F30" s="14" t="inlineStr">
        <is>
          <t>Belum</t>
        </is>
      </c>
      <c r="G30" s="14" t="n"/>
      <c r="H30" s="14" t="n"/>
      <c r="I30" s="15" t="n"/>
      <c r="J30" s="1" t="n"/>
    </row>
    <row r="31">
      <c r="A31" s="14" t="n">
        <v>29</v>
      </c>
      <c r="B31" s="15" t="n"/>
      <c r="C31" s="14" t="n"/>
      <c r="D31" s="15" t="n"/>
      <c r="E31" s="15" t="n"/>
      <c r="F31" s="14" t="inlineStr">
        <is>
          <t>Belum</t>
        </is>
      </c>
      <c r="G31" s="14" t="n"/>
      <c r="H31" s="14" t="n"/>
      <c r="I31" s="15" t="n"/>
      <c r="J31" s="1" t="n"/>
    </row>
    <row r="32">
      <c r="A32" s="14" t="n">
        <v>30</v>
      </c>
      <c r="B32" s="15" t="n"/>
      <c r="C32" s="14" t="n"/>
      <c r="D32" s="15" t="n"/>
      <c r="E32" s="15" t="n"/>
      <c r="F32" s="14" t="inlineStr">
        <is>
          <t>Belum</t>
        </is>
      </c>
      <c r="G32" s="14" t="n"/>
      <c r="H32" s="14" t="n"/>
      <c r="I32" s="15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autoFilter ref="A2:I32"/>
  <mergeCells count="1">
    <mergeCell ref="A1:I1"/>
  </mergeCells>
  <conditionalFormatting sqref="A3:I32">
    <cfRule type="expression" priority="1" dxfId="0" stopIfTrue="0">
      <formula>$F3="Sudah"</formula>
    </cfRule>
    <cfRule type="expression" priority="2" dxfId="1" stopIfTrue="0">
      <formula>$F3="Skip"</formula>
    </cfRule>
  </conditionalFormatting>
  <dataValidations count="4">
    <dataValidation sqref="C3:C32" showDropDown="0" showInputMessage="0" showErrorMessage="0" allowBlank="1" type="list">
      <formula1>"Canggu,Seminyak,Ubud,Denpasar,Sanur"</formula1>
    </dataValidation>
    <dataValidation sqref="E3:E32" showDropDown="0" showInputMessage="0" showErrorMessage="0" allowBlank="1" type="list">
      <formula1>"Rustic,Modern,Nature,Industrial,Cozy"</formula1>
    </dataValidation>
    <dataValidation sqref="F3:F32" showDropDown="0" showInputMessage="0" showErrorMessage="0" allowBlank="0" type="list">
      <formula1>"Belum,Sudah,Skip"</formula1>
    </dataValidation>
    <dataValidation sqref="H3:H3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P4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30" customWidth="1" min="10" max="10"/>
    <col width="8" customWidth="1" min="11" max="11"/>
    <col width="10" customWidth="1" min="12" max="12"/>
    <col width="10" customWidth="1" min="13" max="13"/>
    <col width="14" customWidth="1" min="14" max="14"/>
  </cols>
  <sheetData>
    <row r="1" ht="26" customHeight="1">
      <c r="A1" s="12" t="inlineStr">
        <is>
          <t>CONTENT TRACKER — 30 DAYS</t>
        </is>
      </c>
      <c r="O1" s="1" t="n"/>
      <c r="P1" s="1" t="n"/>
    </row>
    <row r="2" ht="36" customHeight="1">
      <c r="A2" s="13" t="inlineStr">
        <is>
          <t>Hari ke-</t>
        </is>
      </c>
      <c r="B2" s="13" t="inlineStr">
        <is>
          <t>Tanggal</t>
        </is>
      </c>
      <c r="C2" s="13" t="inlineStr">
        <is>
          <t>Nama Cafe</t>
        </is>
      </c>
      <c r="D2" s="13" t="inlineStr">
        <is>
          <t>Jumlah Foto Diambil</t>
        </is>
      </c>
      <c r="E2" s="13" t="inlineStr">
        <is>
          <t>Jumlah Foto Terpilih</t>
        </is>
      </c>
      <c r="F2" s="13" t="inlineStr">
        <is>
          <t>Film Simulation</t>
        </is>
      </c>
      <c r="G2" s="13" t="inlineStr">
        <is>
          <t>Kondisi Cahaya</t>
        </is>
      </c>
      <c r="H2" s="13" t="inlineStr">
        <is>
          <t>Reels Status</t>
        </is>
      </c>
      <c r="I2" s="13" t="inlineStr">
        <is>
          <t>Carousel Status</t>
        </is>
      </c>
      <c r="J2" s="13" t="inlineStr">
        <is>
          <t>Link Post Instagram</t>
        </is>
      </c>
      <c r="K2" s="13" t="inlineStr">
        <is>
          <t>Likes</t>
        </is>
      </c>
      <c r="L2" s="13" t="inlineStr">
        <is>
          <t>Views Reels</t>
        </is>
      </c>
      <c r="M2" s="13" t="inlineStr">
        <is>
          <t>Comments</t>
        </is>
      </c>
      <c r="N2" s="13" t="inlineStr">
        <is>
          <t>Engagement Rate (%)</t>
        </is>
      </c>
      <c r="O2" s="1" t="n"/>
      <c r="P2" s="1" t="n"/>
    </row>
    <row r="3">
      <c r="A3" s="14" t="n">
        <v>1</v>
      </c>
      <c r="B3" s="14" t="n"/>
      <c r="C3" s="15" t="n"/>
      <c r="D3" s="14" t="n"/>
      <c r="E3" s="14" t="n">
        <v>7</v>
      </c>
      <c r="F3" s="14" t="n"/>
      <c r="G3" s="14" t="n"/>
      <c r="H3" s="14" t="inlineStr">
        <is>
          <t>Belum</t>
        </is>
      </c>
      <c r="I3" s="14" t="inlineStr">
        <is>
          <t>Belum</t>
        </is>
      </c>
      <c r="J3" s="15" t="n"/>
      <c r="K3" s="14" t="n"/>
      <c r="L3" s="14" t="n"/>
      <c r="M3" s="14" t="n"/>
      <c r="N3" s="16">
        <f>IFERROR((K3+M3)/L3*100,0)</f>
        <v/>
      </c>
      <c r="O3" s="1" t="n"/>
      <c r="P3" s="1" t="n"/>
    </row>
    <row r="4">
      <c r="A4" s="14" t="n">
        <v>2</v>
      </c>
      <c r="B4" s="14" t="n"/>
      <c r="C4" s="15" t="n"/>
      <c r="D4" s="14" t="n"/>
      <c r="E4" s="14" t="n">
        <v>7</v>
      </c>
      <c r="F4" s="14" t="n"/>
      <c r="G4" s="14" t="n"/>
      <c r="H4" s="14" t="inlineStr">
        <is>
          <t>Belum</t>
        </is>
      </c>
      <c r="I4" s="14" t="inlineStr">
        <is>
          <t>Belum</t>
        </is>
      </c>
      <c r="J4" s="15" t="n"/>
      <c r="K4" s="14" t="n"/>
      <c r="L4" s="14" t="n"/>
      <c r="M4" s="14" t="n"/>
      <c r="N4" s="16">
        <f>IFERROR((K4+M4)/L4*100,0)</f>
        <v/>
      </c>
      <c r="O4" s="1" t="n"/>
      <c r="P4" s="1" t="n"/>
    </row>
    <row r="5">
      <c r="A5" s="14" t="n">
        <v>3</v>
      </c>
      <c r="B5" s="14" t="n"/>
      <c r="C5" s="15" t="n"/>
      <c r="D5" s="14" t="n"/>
      <c r="E5" s="14" t="n">
        <v>7</v>
      </c>
      <c r="F5" s="14" t="n"/>
      <c r="G5" s="14" t="n"/>
      <c r="H5" s="14" t="inlineStr">
        <is>
          <t>Belum</t>
        </is>
      </c>
      <c r="I5" s="14" t="inlineStr">
        <is>
          <t>Belum</t>
        </is>
      </c>
      <c r="J5" s="15" t="n"/>
      <c r="K5" s="14" t="n"/>
      <c r="L5" s="14" t="n"/>
      <c r="M5" s="14" t="n"/>
      <c r="N5" s="16">
        <f>IFERROR((K5+M5)/L5*100,0)</f>
        <v/>
      </c>
      <c r="O5" s="1" t="n"/>
      <c r="P5" s="1" t="n"/>
    </row>
    <row r="6">
      <c r="A6" s="14" t="n">
        <v>4</v>
      </c>
      <c r="B6" s="14" t="n"/>
      <c r="C6" s="15" t="n"/>
      <c r="D6" s="14" t="n"/>
      <c r="E6" s="14" t="n">
        <v>7</v>
      </c>
      <c r="F6" s="14" t="n"/>
      <c r="G6" s="14" t="n"/>
      <c r="H6" s="14" t="inlineStr">
        <is>
          <t>Belum</t>
        </is>
      </c>
      <c r="I6" s="14" t="inlineStr">
        <is>
          <t>Belum</t>
        </is>
      </c>
      <c r="J6" s="15" t="n"/>
      <c r="K6" s="14" t="n"/>
      <c r="L6" s="14" t="n"/>
      <c r="M6" s="14" t="n"/>
      <c r="N6" s="16">
        <f>IFERROR((K6+M6)/L6*100,0)</f>
        <v/>
      </c>
      <c r="O6" s="1" t="n"/>
      <c r="P6" s="1" t="n"/>
    </row>
    <row r="7">
      <c r="A7" s="14" t="n">
        <v>5</v>
      </c>
      <c r="B7" s="14" t="n"/>
      <c r="C7" s="15" t="n"/>
      <c r="D7" s="14" t="n"/>
      <c r="E7" s="14" t="n">
        <v>7</v>
      </c>
      <c r="F7" s="14" t="n"/>
      <c r="G7" s="14" t="n"/>
      <c r="H7" s="14" t="inlineStr">
        <is>
          <t>Belum</t>
        </is>
      </c>
      <c r="I7" s="14" t="inlineStr">
        <is>
          <t>Belum</t>
        </is>
      </c>
      <c r="J7" s="15" t="n"/>
      <c r="K7" s="14" t="n"/>
      <c r="L7" s="14" t="n"/>
      <c r="M7" s="14" t="n"/>
      <c r="N7" s="16">
        <f>IFERROR((K7+M7)/L7*100,0)</f>
        <v/>
      </c>
      <c r="O7" s="1" t="n"/>
      <c r="P7" s="1" t="n"/>
    </row>
    <row r="8">
      <c r="A8" s="14" t="n">
        <v>6</v>
      </c>
      <c r="B8" s="14" t="n"/>
      <c r="C8" s="15" t="n"/>
      <c r="D8" s="14" t="n"/>
      <c r="E8" s="14" t="n">
        <v>7</v>
      </c>
      <c r="F8" s="14" t="n"/>
      <c r="G8" s="14" t="n"/>
      <c r="H8" s="14" t="inlineStr">
        <is>
          <t>Belum</t>
        </is>
      </c>
      <c r="I8" s="14" t="inlineStr">
        <is>
          <t>Belum</t>
        </is>
      </c>
      <c r="J8" s="15" t="n"/>
      <c r="K8" s="14" t="n"/>
      <c r="L8" s="14" t="n"/>
      <c r="M8" s="14" t="n"/>
      <c r="N8" s="16">
        <f>IFERROR((K8+M8)/L8*100,0)</f>
        <v/>
      </c>
      <c r="O8" s="1" t="n"/>
      <c r="P8" s="1" t="n"/>
    </row>
    <row r="9">
      <c r="A9" s="14" t="n">
        <v>7</v>
      </c>
      <c r="B9" s="14" t="n"/>
      <c r="C9" s="15" t="n"/>
      <c r="D9" s="14" t="n"/>
      <c r="E9" s="14" t="n">
        <v>7</v>
      </c>
      <c r="F9" s="14" t="n"/>
      <c r="G9" s="14" t="n"/>
      <c r="H9" s="14" t="inlineStr">
        <is>
          <t>Belum</t>
        </is>
      </c>
      <c r="I9" s="14" t="inlineStr">
        <is>
          <t>Belum</t>
        </is>
      </c>
      <c r="J9" s="15" t="n"/>
      <c r="K9" s="14" t="n"/>
      <c r="L9" s="14" t="n"/>
      <c r="M9" s="14" t="n"/>
      <c r="N9" s="16">
        <f>IFERROR((K9+M9)/L9*100,0)</f>
        <v/>
      </c>
      <c r="O9" s="1" t="n"/>
      <c r="P9" s="1" t="n"/>
    </row>
    <row r="10">
      <c r="A10" s="14" t="n">
        <v>8</v>
      </c>
      <c r="B10" s="14" t="n"/>
      <c r="C10" s="15" t="n"/>
      <c r="D10" s="14" t="n"/>
      <c r="E10" s="14" t="n">
        <v>7</v>
      </c>
      <c r="F10" s="14" t="n"/>
      <c r="G10" s="14" t="n"/>
      <c r="H10" s="14" t="inlineStr">
        <is>
          <t>Belum</t>
        </is>
      </c>
      <c r="I10" s="14" t="inlineStr">
        <is>
          <t>Belum</t>
        </is>
      </c>
      <c r="J10" s="15" t="n"/>
      <c r="K10" s="14" t="n"/>
      <c r="L10" s="14" t="n"/>
      <c r="M10" s="14" t="n"/>
      <c r="N10" s="16">
        <f>IFERROR((K10+M10)/L10*100,0)</f>
        <v/>
      </c>
      <c r="O10" s="1" t="n"/>
      <c r="P10" s="1" t="n"/>
    </row>
    <row r="11">
      <c r="A11" s="14" t="n">
        <v>9</v>
      </c>
      <c r="B11" s="14" t="n"/>
      <c r="C11" s="15" t="n"/>
      <c r="D11" s="14" t="n"/>
      <c r="E11" s="14" t="n">
        <v>7</v>
      </c>
      <c r="F11" s="14" t="n"/>
      <c r="G11" s="14" t="n"/>
      <c r="H11" s="14" t="inlineStr">
        <is>
          <t>Belum</t>
        </is>
      </c>
      <c r="I11" s="14" t="inlineStr">
        <is>
          <t>Belum</t>
        </is>
      </c>
      <c r="J11" s="15" t="n"/>
      <c r="K11" s="14" t="n"/>
      <c r="L11" s="14" t="n"/>
      <c r="M11" s="14" t="n"/>
      <c r="N11" s="16">
        <f>IFERROR((K11+M11)/L11*100,0)</f>
        <v/>
      </c>
      <c r="O11" s="1" t="n"/>
      <c r="P11" s="1" t="n"/>
    </row>
    <row r="12">
      <c r="A12" s="14" t="n">
        <v>10</v>
      </c>
      <c r="B12" s="14" t="n"/>
      <c r="C12" s="15" t="n"/>
      <c r="D12" s="14" t="n"/>
      <c r="E12" s="14" t="n">
        <v>7</v>
      </c>
      <c r="F12" s="14" t="n"/>
      <c r="G12" s="14" t="n"/>
      <c r="H12" s="14" t="inlineStr">
        <is>
          <t>Belum</t>
        </is>
      </c>
      <c r="I12" s="14" t="inlineStr">
        <is>
          <t>Belum</t>
        </is>
      </c>
      <c r="J12" s="15" t="n"/>
      <c r="K12" s="14" t="n"/>
      <c r="L12" s="14" t="n"/>
      <c r="M12" s="14" t="n"/>
      <c r="N12" s="16">
        <f>IFERROR((K12+M12)/L12*100,0)</f>
        <v/>
      </c>
      <c r="O12" s="1" t="n"/>
      <c r="P12" s="1" t="n"/>
    </row>
    <row r="13">
      <c r="A13" s="14" t="n">
        <v>11</v>
      </c>
      <c r="B13" s="14" t="n"/>
      <c r="C13" s="15" t="n"/>
      <c r="D13" s="14" t="n"/>
      <c r="E13" s="14" t="n">
        <v>7</v>
      </c>
      <c r="F13" s="14" t="n"/>
      <c r="G13" s="14" t="n"/>
      <c r="H13" s="14" t="inlineStr">
        <is>
          <t>Belum</t>
        </is>
      </c>
      <c r="I13" s="14" t="inlineStr">
        <is>
          <t>Belum</t>
        </is>
      </c>
      <c r="J13" s="15" t="n"/>
      <c r="K13" s="14" t="n"/>
      <c r="L13" s="14" t="n"/>
      <c r="M13" s="14" t="n"/>
      <c r="N13" s="16">
        <f>IFERROR((K13+M13)/L13*100,0)</f>
        <v/>
      </c>
      <c r="O13" s="1" t="n"/>
      <c r="P13" s="1" t="n"/>
    </row>
    <row r="14">
      <c r="A14" s="14" t="n">
        <v>12</v>
      </c>
      <c r="B14" s="14" t="n"/>
      <c r="C14" s="15" t="n"/>
      <c r="D14" s="14" t="n"/>
      <c r="E14" s="14" t="n">
        <v>7</v>
      </c>
      <c r="F14" s="14" t="n"/>
      <c r="G14" s="14" t="n"/>
      <c r="H14" s="14" t="inlineStr">
        <is>
          <t>Belum</t>
        </is>
      </c>
      <c r="I14" s="14" t="inlineStr">
        <is>
          <t>Belum</t>
        </is>
      </c>
      <c r="J14" s="15" t="n"/>
      <c r="K14" s="14" t="n"/>
      <c r="L14" s="14" t="n"/>
      <c r="M14" s="14" t="n"/>
      <c r="N14" s="16">
        <f>IFERROR((K14+M14)/L14*100,0)</f>
        <v/>
      </c>
      <c r="O14" s="1" t="n"/>
      <c r="P14" s="1" t="n"/>
    </row>
    <row r="15">
      <c r="A15" s="14" t="n">
        <v>13</v>
      </c>
      <c r="B15" s="14" t="n"/>
      <c r="C15" s="15" t="n"/>
      <c r="D15" s="14" t="n"/>
      <c r="E15" s="14" t="n">
        <v>7</v>
      </c>
      <c r="F15" s="14" t="n"/>
      <c r="G15" s="14" t="n"/>
      <c r="H15" s="14" t="inlineStr">
        <is>
          <t>Belum</t>
        </is>
      </c>
      <c r="I15" s="14" t="inlineStr">
        <is>
          <t>Belum</t>
        </is>
      </c>
      <c r="J15" s="15" t="n"/>
      <c r="K15" s="14" t="n"/>
      <c r="L15" s="14" t="n"/>
      <c r="M15" s="14" t="n"/>
      <c r="N15" s="16">
        <f>IFERROR((K15+M15)/L15*100,0)</f>
        <v/>
      </c>
      <c r="O15" s="1" t="n"/>
      <c r="P15" s="1" t="n"/>
    </row>
    <row r="16">
      <c r="A16" s="14" t="n">
        <v>14</v>
      </c>
      <c r="B16" s="14" t="n"/>
      <c r="C16" s="15" t="n"/>
      <c r="D16" s="14" t="n"/>
      <c r="E16" s="14" t="n">
        <v>7</v>
      </c>
      <c r="F16" s="14" t="n"/>
      <c r="G16" s="14" t="n"/>
      <c r="H16" s="14" t="inlineStr">
        <is>
          <t>Belum</t>
        </is>
      </c>
      <c r="I16" s="14" t="inlineStr">
        <is>
          <t>Belum</t>
        </is>
      </c>
      <c r="J16" s="15" t="n"/>
      <c r="K16" s="14" t="n"/>
      <c r="L16" s="14" t="n"/>
      <c r="M16" s="14" t="n"/>
      <c r="N16" s="16">
        <f>IFERROR((K16+M16)/L16*100,0)</f>
        <v/>
      </c>
      <c r="O16" s="1" t="n"/>
      <c r="P16" s="1" t="n"/>
    </row>
    <row r="17">
      <c r="A17" s="14" t="n">
        <v>15</v>
      </c>
      <c r="B17" s="14" t="n"/>
      <c r="C17" s="15" t="n"/>
      <c r="D17" s="14" t="n"/>
      <c r="E17" s="14" t="n">
        <v>7</v>
      </c>
      <c r="F17" s="14" t="n"/>
      <c r="G17" s="14" t="n"/>
      <c r="H17" s="14" t="inlineStr">
        <is>
          <t>Belum</t>
        </is>
      </c>
      <c r="I17" s="14" t="inlineStr">
        <is>
          <t>Belum</t>
        </is>
      </c>
      <c r="J17" s="15" t="n"/>
      <c r="K17" s="14" t="n"/>
      <c r="L17" s="14" t="n"/>
      <c r="M17" s="14" t="n"/>
      <c r="N17" s="16">
        <f>IFERROR((K17+M17)/L17*100,0)</f>
        <v/>
      </c>
      <c r="O17" s="1" t="n"/>
      <c r="P17" s="1" t="n"/>
    </row>
    <row r="18">
      <c r="A18" s="14" t="n">
        <v>16</v>
      </c>
      <c r="B18" s="14" t="n"/>
      <c r="C18" s="15" t="n"/>
      <c r="D18" s="14" t="n"/>
      <c r="E18" s="14" t="n">
        <v>7</v>
      </c>
      <c r="F18" s="14" t="n"/>
      <c r="G18" s="14" t="n"/>
      <c r="H18" s="14" t="inlineStr">
        <is>
          <t>Belum</t>
        </is>
      </c>
      <c r="I18" s="14" t="inlineStr">
        <is>
          <t>Belum</t>
        </is>
      </c>
      <c r="J18" s="15" t="n"/>
      <c r="K18" s="14" t="n"/>
      <c r="L18" s="14" t="n"/>
      <c r="M18" s="14" t="n"/>
      <c r="N18" s="16">
        <f>IFERROR((K18+M18)/L18*100,0)</f>
        <v/>
      </c>
      <c r="O18" s="1" t="n"/>
      <c r="P18" s="1" t="n"/>
    </row>
    <row r="19">
      <c r="A19" s="14" t="n">
        <v>17</v>
      </c>
      <c r="B19" s="14" t="n"/>
      <c r="C19" s="15" t="n"/>
      <c r="D19" s="14" t="n"/>
      <c r="E19" s="14" t="n">
        <v>7</v>
      </c>
      <c r="F19" s="14" t="n"/>
      <c r="G19" s="14" t="n"/>
      <c r="H19" s="14" t="inlineStr">
        <is>
          <t>Belum</t>
        </is>
      </c>
      <c r="I19" s="14" t="inlineStr">
        <is>
          <t>Belum</t>
        </is>
      </c>
      <c r="J19" s="15" t="n"/>
      <c r="K19" s="14" t="n"/>
      <c r="L19" s="14" t="n"/>
      <c r="M19" s="14" t="n"/>
      <c r="N19" s="16">
        <f>IFERROR((K19+M19)/L19*100,0)</f>
        <v/>
      </c>
      <c r="O19" s="1" t="n"/>
      <c r="P19" s="1" t="n"/>
    </row>
    <row r="20">
      <c r="A20" s="14" t="n">
        <v>18</v>
      </c>
      <c r="B20" s="14" t="n"/>
      <c r="C20" s="15" t="n"/>
      <c r="D20" s="14" t="n"/>
      <c r="E20" s="14" t="n">
        <v>7</v>
      </c>
      <c r="F20" s="14" t="n"/>
      <c r="G20" s="14" t="n"/>
      <c r="H20" s="14" t="inlineStr">
        <is>
          <t>Belum</t>
        </is>
      </c>
      <c r="I20" s="14" t="inlineStr">
        <is>
          <t>Belum</t>
        </is>
      </c>
      <c r="J20" s="15" t="n"/>
      <c r="K20" s="14" t="n"/>
      <c r="L20" s="14" t="n"/>
      <c r="M20" s="14" t="n"/>
      <c r="N20" s="16">
        <f>IFERROR((K20+M20)/L20*100,0)</f>
        <v/>
      </c>
      <c r="O20" s="1" t="n"/>
      <c r="P20" s="1" t="n"/>
    </row>
    <row r="21">
      <c r="A21" s="14" t="n">
        <v>19</v>
      </c>
      <c r="B21" s="14" t="n"/>
      <c r="C21" s="15" t="n"/>
      <c r="D21" s="14" t="n"/>
      <c r="E21" s="14" t="n">
        <v>7</v>
      </c>
      <c r="F21" s="14" t="n"/>
      <c r="G21" s="14" t="n"/>
      <c r="H21" s="14" t="inlineStr">
        <is>
          <t>Belum</t>
        </is>
      </c>
      <c r="I21" s="14" t="inlineStr">
        <is>
          <t>Belum</t>
        </is>
      </c>
      <c r="J21" s="15" t="n"/>
      <c r="K21" s="14" t="n"/>
      <c r="L21" s="14" t="n"/>
      <c r="M21" s="14" t="n"/>
      <c r="N21" s="16">
        <f>IFERROR((K21+M21)/L21*100,0)</f>
        <v/>
      </c>
      <c r="O21" s="1" t="n"/>
      <c r="P21" s="1" t="n"/>
    </row>
    <row r="22">
      <c r="A22" s="14" t="n">
        <v>20</v>
      </c>
      <c r="B22" s="14" t="n"/>
      <c r="C22" s="15" t="n"/>
      <c r="D22" s="14" t="n"/>
      <c r="E22" s="14" t="n">
        <v>7</v>
      </c>
      <c r="F22" s="14" t="n"/>
      <c r="G22" s="14" t="n"/>
      <c r="H22" s="14" t="inlineStr">
        <is>
          <t>Belum</t>
        </is>
      </c>
      <c r="I22" s="14" t="inlineStr">
        <is>
          <t>Belum</t>
        </is>
      </c>
      <c r="J22" s="15" t="n"/>
      <c r="K22" s="14" t="n"/>
      <c r="L22" s="14" t="n"/>
      <c r="M22" s="14" t="n"/>
      <c r="N22" s="16">
        <f>IFERROR((K22+M22)/L22*100,0)</f>
        <v/>
      </c>
      <c r="O22" s="1" t="n"/>
      <c r="P22" s="1" t="n"/>
    </row>
    <row r="23">
      <c r="A23" s="14" t="n">
        <v>21</v>
      </c>
      <c r="B23" s="14" t="n"/>
      <c r="C23" s="15" t="n"/>
      <c r="D23" s="14" t="n"/>
      <c r="E23" s="14" t="n">
        <v>7</v>
      </c>
      <c r="F23" s="14" t="n"/>
      <c r="G23" s="14" t="n"/>
      <c r="H23" s="14" t="inlineStr">
        <is>
          <t>Belum</t>
        </is>
      </c>
      <c r="I23" s="14" t="inlineStr">
        <is>
          <t>Belum</t>
        </is>
      </c>
      <c r="J23" s="15" t="n"/>
      <c r="K23" s="14" t="n"/>
      <c r="L23" s="14" t="n"/>
      <c r="M23" s="14" t="n"/>
      <c r="N23" s="16">
        <f>IFERROR((K23+M23)/L23*100,0)</f>
        <v/>
      </c>
      <c r="O23" s="1" t="n"/>
      <c r="P23" s="1" t="n"/>
    </row>
    <row r="24">
      <c r="A24" s="14" t="n">
        <v>22</v>
      </c>
      <c r="B24" s="14" t="n"/>
      <c r="C24" s="15" t="n"/>
      <c r="D24" s="14" t="n"/>
      <c r="E24" s="14" t="n">
        <v>7</v>
      </c>
      <c r="F24" s="14" t="n"/>
      <c r="G24" s="14" t="n"/>
      <c r="H24" s="14" t="inlineStr">
        <is>
          <t>Belum</t>
        </is>
      </c>
      <c r="I24" s="14" t="inlineStr">
        <is>
          <t>Belum</t>
        </is>
      </c>
      <c r="J24" s="15" t="n"/>
      <c r="K24" s="14" t="n"/>
      <c r="L24" s="14" t="n"/>
      <c r="M24" s="14" t="n"/>
      <c r="N24" s="16">
        <f>IFERROR((K24+M24)/L24*100,0)</f>
        <v/>
      </c>
      <c r="O24" s="1" t="n"/>
      <c r="P24" s="1" t="n"/>
    </row>
    <row r="25">
      <c r="A25" s="14" t="n">
        <v>23</v>
      </c>
      <c r="B25" s="14" t="n"/>
      <c r="C25" s="15" t="n"/>
      <c r="D25" s="14" t="n"/>
      <c r="E25" s="14" t="n">
        <v>7</v>
      </c>
      <c r="F25" s="14" t="n"/>
      <c r="G25" s="14" t="n"/>
      <c r="H25" s="14" t="inlineStr">
        <is>
          <t>Belum</t>
        </is>
      </c>
      <c r="I25" s="14" t="inlineStr">
        <is>
          <t>Belum</t>
        </is>
      </c>
      <c r="J25" s="15" t="n"/>
      <c r="K25" s="14" t="n"/>
      <c r="L25" s="14" t="n"/>
      <c r="M25" s="14" t="n"/>
      <c r="N25" s="16">
        <f>IFERROR((K25+M25)/L25*100,0)</f>
        <v/>
      </c>
      <c r="O25" s="1" t="n"/>
      <c r="P25" s="1" t="n"/>
    </row>
    <row r="26">
      <c r="A26" s="14" t="n">
        <v>24</v>
      </c>
      <c r="B26" s="14" t="n"/>
      <c r="C26" s="15" t="n"/>
      <c r="D26" s="14" t="n"/>
      <c r="E26" s="14" t="n">
        <v>7</v>
      </c>
      <c r="F26" s="14" t="n"/>
      <c r="G26" s="14" t="n"/>
      <c r="H26" s="14" t="inlineStr">
        <is>
          <t>Belum</t>
        </is>
      </c>
      <c r="I26" s="14" t="inlineStr">
        <is>
          <t>Belum</t>
        </is>
      </c>
      <c r="J26" s="15" t="n"/>
      <c r="K26" s="14" t="n"/>
      <c r="L26" s="14" t="n"/>
      <c r="M26" s="14" t="n"/>
      <c r="N26" s="16">
        <f>IFERROR((K26+M26)/L26*100,0)</f>
        <v/>
      </c>
      <c r="O26" s="1" t="n"/>
      <c r="P26" s="1" t="n"/>
    </row>
    <row r="27">
      <c r="A27" s="14" t="n">
        <v>25</v>
      </c>
      <c r="B27" s="14" t="n"/>
      <c r="C27" s="15" t="n"/>
      <c r="D27" s="14" t="n"/>
      <c r="E27" s="14" t="n">
        <v>7</v>
      </c>
      <c r="F27" s="14" t="n"/>
      <c r="G27" s="14" t="n"/>
      <c r="H27" s="14" t="inlineStr">
        <is>
          <t>Belum</t>
        </is>
      </c>
      <c r="I27" s="14" t="inlineStr">
        <is>
          <t>Belum</t>
        </is>
      </c>
      <c r="J27" s="15" t="n"/>
      <c r="K27" s="14" t="n"/>
      <c r="L27" s="14" t="n"/>
      <c r="M27" s="14" t="n"/>
      <c r="N27" s="16">
        <f>IFERROR((K27+M27)/L27*100,0)</f>
        <v/>
      </c>
      <c r="O27" s="1" t="n"/>
      <c r="P27" s="1" t="n"/>
    </row>
    <row r="28">
      <c r="A28" s="14" t="n">
        <v>26</v>
      </c>
      <c r="B28" s="14" t="n"/>
      <c r="C28" s="15" t="n"/>
      <c r="D28" s="14" t="n"/>
      <c r="E28" s="14" t="n">
        <v>7</v>
      </c>
      <c r="F28" s="14" t="n"/>
      <c r="G28" s="14" t="n"/>
      <c r="H28" s="14" t="inlineStr">
        <is>
          <t>Belum</t>
        </is>
      </c>
      <c r="I28" s="14" t="inlineStr">
        <is>
          <t>Belum</t>
        </is>
      </c>
      <c r="J28" s="15" t="n"/>
      <c r="K28" s="14" t="n"/>
      <c r="L28" s="14" t="n"/>
      <c r="M28" s="14" t="n"/>
      <c r="N28" s="16">
        <f>IFERROR((K28+M28)/L28*100,0)</f>
        <v/>
      </c>
      <c r="O28" s="1" t="n"/>
      <c r="P28" s="1" t="n"/>
    </row>
    <row r="29">
      <c r="A29" s="14" t="n">
        <v>27</v>
      </c>
      <c r="B29" s="14" t="n"/>
      <c r="C29" s="15" t="n"/>
      <c r="D29" s="14" t="n"/>
      <c r="E29" s="14" t="n">
        <v>7</v>
      </c>
      <c r="F29" s="14" t="n"/>
      <c r="G29" s="14" t="n"/>
      <c r="H29" s="14" t="inlineStr">
        <is>
          <t>Belum</t>
        </is>
      </c>
      <c r="I29" s="14" t="inlineStr">
        <is>
          <t>Belum</t>
        </is>
      </c>
      <c r="J29" s="15" t="n"/>
      <c r="K29" s="14" t="n"/>
      <c r="L29" s="14" t="n"/>
      <c r="M29" s="14" t="n"/>
      <c r="N29" s="16">
        <f>IFERROR((K29+M29)/L29*100,0)</f>
        <v/>
      </c>
      <c r="O29" s="1" t="n"/>
      <c r="P29" s="1" t="n"/>
    </row>
    <row r="30">
      <c r="A30" s="14" t="n">
        <v>28</v>
      </c>
      <c r="B30" s="14" t="n"/>
      <c r="C30" s="15" t="n"/>
      <c r="D30" s="14" t="n"/>
      <c r="E30" s="14" t="n">
        <v>7</v>
      </c>
      <c r="F30" s="14" t="n"/>
      <c r="G30" s="14" t="n"/>
      <c r="H30" s="14" t="inlineStr">
        <is>
          <t>Belum</t>
        </is>
      </c>
      <c r="I30" s="14" t="inlineStr">
        <is>
          <t>Belum</t>
        </is>
      </c>
      <c r="J30" s="15" t="n"/>
      <c r="K30" s="14" t="n"/>
      <c r="L30" s="14" t="n"/>
      <c r="M30" s="14" t="n"/>
      <c r="N30" s="16">
        <f>IFERROR((K30+M30)/L30*100,0)</f>
        <v/>
      </c>
      <c r="O30" s="1" t="n"/>
      <c r="P30" s="1" t="n"/>
    </row>
    <row r="31">
      <c r="A31" s="14" t="n">
        <v>29</v>
      </c>
      <c r="B31" s="14" t="n"/>
      <c r="C31" s="15" t="n"/>
      <c r="D31" s="14" t="n"/>
      <c r="E31" s="14" t="n">
        <v>7</v>
      </c>
      <c r="F31" s="14" t="n"/>
      <c r="G31" s="14" t="n"/>
      <c r="H31" s="14" t="inlineStr">
        <is>
          <t>Belum</t>
        </is>
      </c>
      <c r="I31" s="14" t="inlineStr">
        <is>
          <t>Belum</t>
        </is>
      </c>
      <c r="J31" s="15" t="n"/>
      <c r="K31" s="14" t="n"/>
      <c r="L31" s="14" t="n"/>
      <c r="M31" s="14" t="n"/>
      <c r="N31" s="16">
        <f>IFERROR((K31+M31)/L31*100,0)</f>
        <v/>
      </c>
      <c r="O31" s="1" t="n"/>
      <c r="P31" s="1" t="n"/>
    </row>
    <row r="32">
      <c r="A32" s="14" t="n">
        <v>30</v>
      </c>
      <c r="B32" s="14" t="n"/>
      <c r="C32" s="15" t="n"/>
      <c r="D32" s="14" t="n"/>
      <c r="E32" s="14" t="n">
        <v>7</v>
      </c>
      <c r="F32" s="14" t="n"/>
      <c r="G32" s="14" t="n"/>
      <c r="H32" s="14" t="inlineStr">
        <is>
          <t>Belum</t>
        </is>
      </c>
      <c r="I32" s="14" t="inlineStr">
        <is>
          <t>Belum</t>
        </is>
      </c>
      <c r="J32" s="15" t="n"/>
      <c r="K32" s="14" t="n"/>
      <c r="L32" s="14" t="n"/>
      <c r="M32" s="14" t="n"/>
      <c r="N32" s="16">
        <f>IFERROR((K32+M32)/L32*100,0)</f>
        <v/>
      </c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autoFilter ref="A2:N32"/>
  <mergeCells count="1">
    <mergeCell ref="A1:N1"/>
  </mergeCells>
  <conditionalFormatting sqref="H3:H32">
    <cfRule type="cellIs" priority="1" operator="equal" dxfId="2">
      <formula>"Live"</formula>
    </cfRule>
    <cfRule type="cellIs" priority="2" operator="equal" dxfId="3">
      <formula>"Draft"</formula>
    </cfRule>
    <cfRule type="cellIs" priority="3" operator="equal" dxfId="4">
      <formula>"Belum"</formula>
    </cfRule>
  </conditionalFormatting>
  <conditionalFormatting sqref="I3:I32">
    <cfRule type="cellIs" priority="4" operator="equal" dxfId="2">
      <formula>"Live"</formula>
    </cfRule>
    <cfRule type="cellIs" priority="5" operator="equal" dxfId="3">
      <formula>"Draft"</formula>
    </cfRule>
    <cfRule type="cellIs" priority="6" operator="equal" dxfId="4">
      <formula>"Belum"</formula>
    </cfRule>
  </conditionalFormatting>
  <dataValidations count="4">
    <dataValidation sqref="F3:F32" showDropDown="0" showInputMessage="0" showErrorMessage="0" allowBlank="1" type="list">
      <formula1>"Classic Neg,Acros,Eterna,Classic Chrome,Velvia"</formula1>
    </dataValidation>
    <dataValidation sqref="G3:G32" showDropDown="0" showInputMessage="0" showErrorMessage="0" allowBlank="1" type="list">
      <formula1>"Siang,Sore,Malam"</formula1>
    </dataValidation>
    <dataValidation sqref="H3:H32" showDropDown="0" showInputMessage="0" showErrorMessage="0" allowBlank="0" type="list">
      <formula1>"Belum,Draft,Live"</formula1>
    </dataValidation>
    <dataValidation sqref="I3:I32" showDropDown="0" showInputMessage="0" showErrorMessage="0" allowBlank="0" type="list">
      <formula1>"Belum,Draft,Live"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96F3"/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8" customWidth="1" min="4" max="4"/>
    <col width="16" customWidth="1" min="5" max="5"/>
    <col width="26" customWidth="1" min="6" max="6"/>
    <col width="22" customWidth="1" min="7" max="7"/>
  </cols>
  <sheetData>
    <row r="1" ht="26" customHeight="1">
      <c r="A1" s="12" t="inlineStr">
        <is>
          <t>WEEKLY REVIEW</t>
        </is>
      </c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3" t="inlineStr">
        <is>
          <t>Week</t>
        </is>
      </c>
      <c r="B3" s="13" t="inlineStr">
        <is>
          <t>Days</t>
        </is>
      </c>
      <c r="C3" s="13" t="inlineStr">
        <is>
          <t>Total Cafe</t>
        </is>
      </c>
      <c r="D3" s="13" t="inlineStr">
        <is>
          <t>Total Engagement</t>
        </is>
      </c>
      <c r="E3" s="13" t="inlineStr">
        <is>
          <t>Avg Likes / Post</t>
        </is>
      </c>
      <c r="F3" s="13" t="inlineStr">
        <is>
          <t>Best Performing Cafe</t>
        </is>
      </c>
      <c r="G3" s="13" t="inlineStr">
        <is>
          <t>Top Film Simulation</t>
        </is>
      </c>
      <c r="H3" s="1" t="n"/>
      <c r="I3" s="1" t="n"/>
      <c r="J3" s="1" t="n"/>
    </row>
    <row r="4">
      <c r="A4" s="17" t="inlineStr">
        <is>
          <t>Week 1</t>
        </is>
      </c>
      <c r="B4" s="18" t="inlineStr">
        <is>
          <t>1-7</t>
        </is>
      </c>
      <c r="C4" s="18">
        <f>COUNTA('Content Tracker'!C3:C9)</f>
        <v/>
      </c>
      <c r="D4" s="18">
        <f>SUM('Content Tracker'!K3:K9)+SUM('Content Tracker'!M3:M9)</f>
        <v/>
      </c>
      <c r="E4" s="19">
        <f>IFERROR(AVERAGE('Content Tracker'!K3:K9),0)</f>
        <v/>
      </c>
      <c r="F4" s="20">
        <f>IFERROR(INDEX('Content Tracker'!C3:C9,MATCH(MAX('Content Tracker'!K3:K9),'Content Tracker'!K3:K9,0)),"—")</f>
        <v/>
      </c>
      <c r="G4" s="18">
        <f>IFERROR(INDEX('Content Tracker'!F3:F9,MATCH(MAX(COUNTIF('Content Tracker'!F3:F9,'Content Tracker'!F3:F9)),COUNTIF('Content Tracker'!F3:F9,'Content Tracker'!F3:F9),0)),"—")</f>
        <v/>
      </c>
      <c r="H4" s="1" t="n"/>
      <c r="I4" s="1" t="n"/>
      <c r="J4" s="1" t="n"/>
    </row>
    <row r="5">
      <c r="A5" s="21" t="inlineStr">
        <is>
          <t>Week 2</t>
        </is>
      </c>
      <c r="B5" s="14" t="inlineStr">
        <is>
          <t>8-14</t>
        </is>
      </c>
      <c r="C5" s="14">
        <f>COUNTA('Content Tracker'!C10:C16)</f>
        <v/>
      </c>
      <c r="D5" s="14">
        <f>SUM('Content Tracker'!K10:K16)+SUM('Content Tracker'!M10:M16)</f>
        <v/>
      </c>
      <c r="E5" s="22">
        <f>IFERROR(AVERAGE('Content Tracker'!K10:K16),0)</f>
        <v/>
      </c>
      <c r="F5" s="15">
        <f>IFERROR(INDEX('Content Tracker'!C10:C16,MATCH(MAX('Content Tracker'!K10:K16),'Content Tracker'!K10:K16,0)),"—")</f>
        <v/>
      </c>
      <c r="G5" s="14">
        <f>IFERROR(INDEX('Content Tracker'!F10:F16,MATCH(MAX(COUNTIF('Content Tracker'!F10:F16,'Content Tracker'!F10:F16)),COUNTIF('Content Tracker'!F10:F16,'Content Tracker'!F10:F16),0)),"—")</f>
        <v/>
      </c>
      <c r="H5" s="1" t="n"/>
      <c r="I5" s="1" t="n"/>
      <c r="J5" s="1" t="n"/>
    </row>
    <row r="6">
      <c r="A6" s="17" t="inlineStr">
        <is>
          <t>Week 3</t>
        </is>
      </c>
      <c r="B6" s="18" t="inlineStr">
        <is>
          <t>15-21</t>
        </is>
      </c>
      <c r="C6" s="18">
        <f>COUNTA('Content Tracker'!C17:C23)</f>
        <v/>
      </c>
      <c r="D6" s="18">
        <f>SUM('Content Tracker'!K17:K23)+SUM('Content Tracker'!M17:M23)</f>
        <v/>
      </c>
      <c r="E6" s="19">
        <f>IFERROR(AVERAGE('Content Tracker'!K17:K23),0)</f>
        <v/>
      </c>
      <c r="F6" s="20">
        <f>IFERROR(INDEX('Content Tracker'!C17:C23,MATCH(MAX('Content Tracker'!K17:K23),'Content Tracker'!K17:K23,0)),"—")</f>
        <v/>
      </c>
      <c r="G6" s="18">
        <f>IFERROR(INDEX('Content Tracker'!F17:F23,MATCH(MAX(COUNTIF('Content Tracker'!F17:F23,'Content Tracker'!F17:F23)),COUNTIF('Content Tracker'!F17:F23,'Content Tracker'!F17:F23),0)),"—")</f>
        <v/>
      </c>
      <c r="H6" s="1" t="n"/>
      <c r="I6" s="1" t="n"/>
      <c r="J6" s="1" t="n"/>
    </row>
    <row r="7">
      <c r="A7" s="21" t="inlineStr">
        <is>
          <t>Week 4</t>
        </is>
      </c>
      <c r="B7" s="14" t="inlineStr">
        <is>
          <t>22-30</t>
        </is>
      </c>
      <c r="C7" s="14">
        <f>COUNTA('Content Tracker'!C24:C32)</f>
        <v/>
      </c>
      <c r="D7" s="14">
        <f>SUM('Content Tracker'!K24:K32)+SUM('Content Tracker'!M24:M32)</f>
        <v/>
      </c>
      <c r="E7" s="22">
        <f>IFERROR(AVERAGE('Content Tracker'!K24:K32),0)</f>
        <v/>
      </c>
      <c r="F7" s="15">
        <f>IFERROR(INDEX('Content Tracker'!C24:C32,MATCH(MAX('Content Tracker'!K24:K32),'Content Tracker'!K24:K32,0)),"—")</f>
        <v/>
      </c>
      <c r="G7" s="14">
        <f>IFERROR(INDEX('Content Tracker'!F24:F32,MATCH(MAX(COUNTIF('Content Tracker'!F24:F32,'Content Tracker'!F24:F32)),COUNTIF('Content Tracker'!F24:F32,'Content Tracker'!F24:F32),0)),"—")</f>
        <v/>
      </c>
      <c r="H7" s="1" t="n"/>
      <c r="I7" s="1" t="n"/>
      <c r="J7" s="1" t="n"/>
    </row>
    <row r="8">
      <c r="A8" s="23" t="inlineStr">
        <is>
          <t>TOTAL</t>
        </is>
      </c>
      <c r="B8" s="23" t="inlineStr">
        <is>
          <t>1-30</t>
        </is>
      </c>
      <c r="C8" s="23">
        <f>SUM(C4:C7)</f>
        <v/>
      </c>
      <c r="D8" s="23">
        <f>SUM(D4:D7)</f>
        <v/>
      </c>
      <c r="E8" s="24">
        <f>IFERROR(AVERAGE('Content Tracker'!K3:K32),0)</f>
        <v/>
      </c>
      <c r="F8" s="25">
        <f>IFERROR(INDEX('Content Tracker'!C3:C32,MATCH(MAX('Content Tracker'!K3:K32),'Content Tracker'!K3:K32,0)),"—")</f>
        <v/>
      </c>
      <c r="G8" s="23">
        <f>IFERROR(INDEX('Content Tracker'!F3:F32,MATCH(MAX(COUNTIF('Content Tracker'!F3:F32,'Content Tracker'!F3:F32)),COUNTIF('Content Tracker'!F3:F32,'Content Tracker'!F3:F32),0)),"—")</f>
        <v/>
      </c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1" t="inlineStr">
        <is>
          <t>Auto-generated from Content Tracker. Fill likes, views, comments there.</t>
        </is>
      </c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</sheetData>
  <mergeCells count="2">
    <mergeCell ref="A11:G1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F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</cols>
  <sheetData>
    <row r="1" ht="26" customHeight="1">
      <c r="A1" s="12" t="inlineStr">
        <is>
          <t>GEAR CHECKLIST — DAILY</t>
        </is>
      </c>
      <c r="E1" s="1" t="n"/>
      <c r="F1" s="1" t="n"/>
    </row>
    <row r="2" ht="22" customHeight="1">
      <c r="A2" s="26">
        <f>COUNTIF(B5:B15,"Ready")&amp;" / 11 items ready"</f>
        <v/>
      </c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24" customHeight="1">
      <c r="A4" s="13" t="inlineStr">
        <is>
          <t>Item</t>
        </is>
      </c>
      <c r="B4" s="13" t="inlineStr">
        <is>
          <t>Status</t>
        </is>
      </c>
      <c r="C4" s="13" t="inlineStr">
        <is>
          <t>Notes</t>
        </is>
      </c>
      <c r="D4" s="1" t="n"/>
      <c r="E4" s="1" t="n"/>
      <c r="F4" s="1" t="n"/>
    </row>
    <row r="5">
      <c r="A5" s="15" t="inlineStr">
        <is>
          <t>Fujifilm X-S20</t>
        </is>
      </c>
      <c r="B5" s="14" t="inlineStr">
        <is>
          <t>Belum</t>
        </is>
      </c>
      <c r="C5" s="15" t="inlineStr"/>
      <c r="D5" s="1" t="n"/>
      <c r="E5" s="1" t="n"/>
      <c r="F5" s="1" t="n"/>
    </row>
    <row r="6">
      <c r="A6" s="15" t="inlineStr">
        <is>
          <t>Baterai 1 (charged)</t>
        </is>
      </c>
      <c r="B6" s="14" t="inlineStr">
        <is>
          <t>Belum</t>
        </is>
      </c>
      <c r="C6" s="15" t="inlineStr"/>
      <c r="D6" s="1" t="n"/>
      <c r="E6" s="1" t="n"/>
      <c r="F6" s="1" t="n"/>
    </row>
    <row r="7">
      <c r="A7" s="15" t="inlineStr">
        <is>
          <t>Baterai 2 (charged)</t>
        </is>
      </c>
      <c r="B7" s="14" t="inlineStr">
        <is>
          <t>Belum</t>
        </is>
      </c>
      <c r="C7" s="15" t="inlineStr"/>
      <c r="D7" s="1" t="n"/>
      <c r="E7" s="1" t="n"/>
      <c r="F7" s="1" t="n"/>
    </row>
    <row r="8">
      <c r="A8" s="15" t="inlineStr">
        <is>
          <t>Memory Card 64GB</t>
        </is>
      </c>
      <c r="B8" s="14" t="inlineStr">
        <is>
          <t>Belum</t>
        </is>
      </c>
      <c r="C8" s="15" t="inlineStr"/>
      <c r="D8" s="1" t="n"/>
      <c r="E8" s="1" t="n"/>
      <c r="F8" s="1" t="n"/>
    </row>
    <row r="9">
      <c r="A9" s="15" t="inlineStr">
        <is>
          <t>Lensa terpasang</t>
        </is>
      </c>
      <c r="B9" s="14" t="inlineStr">
        <is>
          <t>Belum</t>
        </is>
      </c>
      <c r="C9" s="15" t="inlineStr"/>
      <c r="D9" s="1" t="n"/>
      <c r="E9" s="1" t="n"/>
      <c r="F9" s="1" t="n"/>
    </row>
    <row r="10">
      <c r="A10" s="15" t="inlineStr">
        <is>
          <t>Mic Saramonic</t>
        </is>
      </c>
      <c r="B10" s="14" t="inlineStr">
        <is>
          <t>Belum</t>
        </is>
      </c>
      <c r="C10" s="15" t="inlineStr"/>
      <c r="D10" s="1" t="n"/>
      <c r="E10" s="1" t="n"/>
      <c r="F10" s="1" t="n"/>
    </row>
    <row r="11">
      <c r="A11" s="15" t="inlineStr">
        <is>
          <t>iPad (CapCut)</t>
        </is>
      </c>
      <c r="B11" s="14" t="inlineStr">
        <is>
          <t>Belum</t>
        </is>
      </c>
      <c r="C11" s="15" t="inlineStr"/>
      <c r="D11" s="1" t="n"/>
      <c r="E11" s="1" t="n"/>
      <c r="F11" s="1" t="n"/>
    </row>
    <row r="12">
      <c r="A12" s="15" t="inlineStr">
        <is>
          <t>Laptop MSI (backup)</t>
        </is>
      </c>
      <c r="B12" s="14" t="inlineStr">
        <is>
          <t>Belum</t>
        </is>
      </c>
      <c r="C12" s="15" t="inlineStr"/>
      <c r="D12" s="1" t="n"/>
      <c r="E12" s="1" t="n"/>
      <c r="F12" s="1" t="n"/>
    </row>
    <row r="13">
      <c r="A13" s="15" t="inlineStr">
        <is>
          <t>Lightroom preset ready</t>
        </is>
      </c>
      <c r="B13" s="14" t="inlineStr">
        <is>
          <t>Belum</t>
        </is>
      </c>
      <c r="C13" s="15" t="inlineStr"/>
      <c r="D13" s="1" t="n"/>
      <c r="E13" s="1" t="n"/>
      <c r="F13" s="1" t="n"/>
    </row>
    <row r="14">
      <c r="A14" s="15" t="inlineStr">
        <is>
          <t>List cafe hari ini</t>
        </is>
      </c>
      <c r="B14" s="14" t="inlineStr">
        <is>
          <t>Belum</t>
        </is>
      </c>
      <c r="C14" s="15" t="inlineStr"/>
      <c r="D14" s="1" t="n"/>
      <c r="E14" s="1" t="n"/>
      <c r="F14" s="1" t="n"/>
    </row>
    <row r="15">
      <c r="A15" s="15" t="inlineStr">
        <is>
          <t>Tripod/gorilla pod (optional)</t>
        </is>
      </c>
      <c r="B15" s="14" t="inlineStr">
        <is>
          <t>Belum</t>
        </is>
      </c>
      <c r="C15" s="15" t="inlineStr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27" t="inlineStr">
        <is>
          <t>Reset semua status ke 'Belum' setiap pagi sebelum berangkat.</t>
        </is>
      </c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</sheetData>
  <autoFilter ref="A4:C15"/>
  <mergeCells count="3">
    <mergeCell ref="A1:D1"/>
    <mergeCell ref="A17:D17"/>
    <mergeCell ref="A2:D2"/>
  </mergeCells>
  <conditionalFormatting sqref="B5:B15">
    <cfRule type="cellIs" priority="1" operator="equal" dxfId="2">
      <formula>"Ready"</formula>
    </cfRule>
    <cfRule type="cellIs" priority="2" operator="equal" dxfId="4">
      <formula>"Belum"</formula>
    </cfRule>
  </conditionalFormatting>
  <dataValidations count="1">
    <dataValidation sqref="B5:B15" showDropDown="0" showInputMessage="0" showErrorMessage="0" allowBlank="0" type="list">
      <formula1>"Belum,Ready"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2026-07-28T05:28:40Z</dcterms:created>
  <dcterms:modified xsi:type="dcterms:W3CDTF">2026-07-28T05:28:41Z</dcterms:modified>
</cp:coreProperties>
</file>